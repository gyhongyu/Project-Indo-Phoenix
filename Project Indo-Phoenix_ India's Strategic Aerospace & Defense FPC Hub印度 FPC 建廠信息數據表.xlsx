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 &amp; Overview" sheetId="1" r:id="rId5"/>
    <sheet state="visible" name="FPC Factory Model" sheetId="2" r:id="rId6"/>
  </sheets>
  <definedNames/>
  <calcPr/>
</workbook>
</file>

<file path=xl/sharedStrings.xml><?xml version="1.0" encoding="utf-8"?>
<sst xmlns="http://schemas.openxmlformats.org/spreadsheetml/2006/main" count="135" uniqueCount="135">
  <si>
    <r>
      <rPr>
        <rFont val="Calibri"/>
        <b/>
        <color rgb="FFFFFFFF"/>
        <sz val="16.0"/>
      </rPr>
      <t xml:space="preserve">Project Indo-Phoenix: India's Strategic Aerospace &amp; Defense FPC Hub
</t>
    </r>
    <r>
      <rPr>
        <rFont val="Google Sans"/>
        <b/>
        <color rgb="FFD9D9D9"/>
        <sz val="9.0"/>
      </rPr>
      <t>印度鳳凰計畫：印度戰略性航太與國防 FPC 中心</t>
    </r>
  </si>
  <si>
    <r>
      <rPr>
        <rFont val="Calibri"/>
        <b/>
        <color rgb="FFFFFFFF"/>
        <sz val="16.0"/>
      </rPr>
      <t xml:space="preserve">Project Indo-Phoenix: FPC One-Stop Plant Parameter Factsheet
</t>
    </r>
    <r>
      <rPr>
        <rFont val="Google Sans"/>
        <b/>
        <color rgb="FFD9D9D9"/>
        <sz val="9.0"/>
      </rPr>
      <t>印度鳳凰計畫：FPC 一站式建廠參數數據表</t>
    </r>
  </si>
  <si>
    <t>Standard Parameters and Dynamic Feasibility Analysis Template for India Localized Manufacturing</t>
  </si>
  <si>
    <t>Table of Contents &amp; Project Overview</t>
  </si>
  <si>
    <t>目錄與專案總覽</t>
  </si>
  <si>
    <t>印度在地化製造標準參數與動態可行性分析範本</t>
  </si>
  <si>
    <r>
      <rPr>
        <rFont val="Calibri"/>
        <b/>
        <color rgb="FFFFFFFF"/>
        <sz val="11.0"/>
      </rPr>
      <t>Tab Name</t>
    </r>
    <r>
      <rPr>
        <rFont val="Google Sans"/>
        <b/>
        <color rgb="FFD9D9D9"/>
        <sz val="9.0"/>
      </rPr>
      <t xml:space="preserve"> (工作表名稱)</t>
    </r>
  </si>
  <si>
    <r>
      <rPr>
        <rFont val="Calibri"/>
        <b/>
        <color rgb="FFFFFFFF"/>
        <sz val="11.0"/>
      </rPr>
      <t>Description</t>
    </r>
    <r>
      <rPr>
        <rFont val="Google Sans"/>
        <b/>
        <color rgb="FFD9D9D9"/>
        <sz val="9.0"/>
      </rPr>
      <t xml:space="preserve"> (內容描述)</t>
    </r>
  </si>
  <si>
    <r>
      <rPr>
        <rFont val="Calibri"/>
        <b/>
        <color rgb="FFFFFFFF"/>
        <sz val="12.0"/>
      </rPr>
      <t>MODULE 1: CAPACITY &amp; REVENUE STRUCTURE</t>
    </r>
    <r>
      <rPr>
        <rFont val="Google Sans"/>
        <b/>
        <color rgb="FFD9D9D9"/>
        <sz val="9.0"/>
      </rPr>
      <t xml:space="preserve"> (產能與營收結構)</t>
    </r>
  </si>
  <si>
    <r>
      <rPr>
        <rFont val="Calibri"/>
        <b/>
        <color rgb="FFFFFFFF"/>
        <sz val="11.0"/>
      </rPr>
      <t>Navigation Link</t>
    </r>
    <r>
      <rPr>
        <rFont val="Google Sans"/>
        <b/>
        <color rgb="FFD9D9D9"/>
        <sz val="9.0"/>
      </rPr>
      <t xml:space="preserve"> (快速連結)</t>
    </r>
  </si>
  <si>
    <r>
      <rPr>
        <rFont val="Calibri"/>
        <b/>
        <color rgb="FF000000"/>
        <sz val="11.0"/>
      </rPr>
      <t xml:space="preserve">TOC &amp; Overview
</t>
    </r>
    <r>
      <rPr>
        <rFont val="Google Sans"/>
        <b/>
        <color rgb="FF999999"/>
        <sz val="9.0"/>
      </rPr>
      <t>目錄與總覽</t>
    </r>
  </si>
  <si>
    <r>
      <rPr>
        <rFont val="Calibri"/>
        <color rgb="FF000000"/>
        <sz val="11.0"/>
      </rPr>
      <t xml:space="preserve">Executive summary, color formatting legend, and project introduction.
</t>
    </r>
    <r>
      <rPr>
        <rFont val="Google Sans"/>
        <color rgb="FF999999"/>
        <sz val="9.0"/>
      </rPr>
      <t>執行摘要、顏色格式圖例與專案介紹。</t>
    </r>
  </si>
  <si>
    <r>
      <rPr>
        <rFont val="Calibri"/>
        <b/>
        <color rgb="FFFFFFFF"/>
        <sz val="11.0"/>
      </rPr>
      <t xml:space="preserve">Product Type
</t>
    </r>
    <r>
      <rPr>
        <rFont val="Google Sans"/>
        <b/>
        <color rgb="FFD9D9D9"/>
        <sz val="9.0"/>
      </rPr>
      <t>(產品類型)</t>
    </r>
  </si>
  <si>
    <t>Active Sheet 本表</t>
  </si>
  <si>
    <r>
      <rPr>
        <rFont val="Calibri"/>
        <b/>
        <color rgb="FFFFFFFF"/>
        <sz val="11.0"/>
      </rPr>
      <t xml:space="preserve">Production Share
</t>
    </r>
    <r>
      <rPr>
        <rFont val="Google Sans"/>
        <b/>
        <color rgb="FFD9D9D9"/>
        <sz val="9.0"/>
      </rPr>
      <t>(生產比例)</t>
    </r>
  </si>
  <si>
    <r>
      <rPr>
        <rFont val="Calibri"/>
        <b/>
        <color rgb="FFFFFFFF"/>
        <sz val="11.0"/>
      </rPr>
      <t xml:space="preserve">Monthly Volume (m²)
</t>
    </r>
    <r>
      <rPr>
        <rFont val="Google Sans"/>
        <b/>
        <color rgb="FFD9D9D9"/>
        <sz val="9.0"/>
      </rPr>
      <t>(預估月產量)</t>
    </r>
  </si>
  <si>
    <r>
      <rPr>
        <rFont val="Calibri"/>
        <b/>
        <color rgb="FF000000"/>
        <sz val="11.0"/>
      </rPr>
      <t xml:space="preserve">FPC Factory Model
</t>
    </r>
    <r>
      <rPr>
        <rFont val="Google Sans"/>
        <b/>
        <color rgb="FF999999"/>
        <sz val="9.0"/>
      </rPr>
      <t>FPC 工廠模型</t>
    </r>
  </si>
  <si>
    <r>
      <rPr>
        <rFont val="Calibri"/>
        <b/>
        <color rgb="FFFFFFFF"/>
        <sz val="11.0"/>
      </rPr>
      <t xml:space="preserve">Annual Volume (m²)
</t>
    </r>
    <r>
      <rPr>
        <rFont val="Google Sans"/>
        <b/>
        <color rgb="FFD9D9D9"/>
        <sz val="9.0"/>
      </rPr>
      <t>(預估年產量)</t>
    </r>
  </si>
  <si>
    <r>
      <rPr>
        <rFont val="Calibri"/>
        <color rgb="FF000000"/>
        <sz val="11.0"/>
      </rPr>
      <t xml:space="preserve">Comprehensive parameters model including Capacity, Area, CapEx, OpEx, and BEP Analysis.
</t>
    </r>
    <r>
      <rPr>
        <rFont val="Google Sans"/>
        <color rgb="FF999999"/>
        <sz val="9.0"/>
      </rPr>
      <t>包含產能、面積、資本支出 (CapEx)、營運支出 (OpEx) 及損益兩平 (BEP) 分析的綜合參數模型。</t>
    </r>
  </si>
  <si>
    <r>
      <rPr>
        <rFont val="Calibri"/>
        <b/>
        <color rgb="FFFFFFFF"/>
        <sz val="11.0"/>
      </rPr>
      <t xml:space="preserve">Unit Price (USD/m²)
</t>
    </r>
    <r>
      <rPr>
        <rFont val="Google Sans"/>
        <b/>
        <color rgb="FFD9D9D9"/>
        <sz val="9.0"/>
      </rPr>
      <t>(調整單價)</t>
    </r>
  </si>
  <si>
    <r>
      <rPr>
        <rFont val="Calibri"/>
        <b/>
        <color rgb="FFFFFFFF"/>
        <sz val="11.0"/>
      </rPr>
      <t xml:space="preserve">Monthly Rev (USD)
</t>
    </r>
    <r>
      <rPr>
        <rFont val="Google Sans"/>
        <b/>
        <color rgb="FFD9D9D9"/>
        <sz val="9.0"/>
      </rPr>
      <t>(預估月營收)</t>
    </r>
  </si>
  <si>
    <r>
      <rPr>
        <rFont val="Calibri"/>
        <b/>
        <color rgb="FFFFFFFF"/>
        <sz val="11.0"/>
      </rPr>
      <t xml:space="preserve">Annual Rev (USD)
</t>
    </r>
    <r>
      <rPr>
        <rFont val="Google Sans"/>
        <b/>
        <color rgb="FFD9D9D9"/>
        <sz val="9.0"/>
      </rPr>
      <t>(預估年營收)</t>
    </r>
  </si>
  <si>
    <r>
      <rPr>
        <rFont val="Calibri"/>
        <b/>
        <color rgb="FF000000"/>
        <sz val="11.0"/>
      </rPr>
      <t xml:space="preserve">Single-sided FPC (1L)
</t>
    </r>
    <r>
      <rPr>
        <rFont val="Google Sans"/>
        <b/>
        <color rgb="FF999999"/>
        <sz val="9.0"/>
      </rPr>
      <t>(單層板)</t>
    </r>
  </si>
  <si>
    <r>
      <rPr>
        <rFont val="Google Sans"/>
        <b/>
        <color rgb="FF999999"/>
        <sz val="9.0"/>
        <u/>
      </rPr>
      <t>Go to Model →</t>
    </r>
    <r>
      <rPr>
        <rFont val="Google Sans"/>
        <b/>
        <color rgb="FF999999"/>
        <sz val="9.0"/>
      </rPr>
      <t xml:space="preserve"> 前往試算表</t>
    </r>
  </si>
  <si>
    <r>
      <rPr>
        <rFont val="Calibri"/>
        <b/>
        <color rgb="FF000000"/>
        <sz val="11.0"/>
      </rPr>
      <t xml:space="preserve">Color Formatting Legend
</t>
    </r>
    <r>
      <rPr>
        <rFont val="Google Sans"/>
        <b val="0"/>
        <color rgb="FF999999"/>
        <sz val="9.0"/>
      </rPr>
      <t>(數據審計與顏色定義):</t>
    </r>
  </si>
  <si>
    <t>Light Blue Fill</t>
  </si>
  <si>
    <r>
      <rPr>
        <rFont val="Calibri"/>
        <b/>
        <color rgb="FF000000"/>
        <sz val="11.0"/>
      </rPr>
      <t xml:space="preserve">User Input Cell 
</t>
    </r>
    <r>
      <rPr>
        <rFont val="Google Sans"/>
        <b val="0"/>
        <color rgb="FF999999"/>
        <sz val="9.0"/>
      </rPr>
      <t>(可編輯的輸入單元格)</t>
    </r>
  </si>
  <si>
    <r>
      <rPr>
        <rFont val="Calibri"/>
        <b/>
        <color rgb="FF000000"/>
        <sz val="11.0"/>
      </rPr>
      <t xml:space="preserve">Double-sided FPC (2L)
</t>
    </r>
    <r>
      <rPr>
        <rFont val="Google Sans"/>
        <b/>
        <color rgb="FF999999"/>
        <sz val="9.0"/>
      </rPr>
      <t>(雙層板)</t>
    </r>
  </si>
  <si>
    <r>
      <rPr>
        <rFont val="Calibri"/>
        <color rgb="FF000000"/>
        <sz val="11.0"/>
      </rPr>
      <t xml:space="preserve">Signals editable assumptions. The user or investor can modify these to run custom scenarios.
</t>
    </r>
    <r>
      <rPr>
        <rFont val="Google Sans"/>
        <color rgb="FF999999"/>
        <sz val="9.0"/>
      </rPr>
      <t>標示可編輯的假設條件。使用者或投資者可修改這些數值以執行自訂的情境模擬。</t>
    </r>
  </si>
  <si>
    <t>Light Green Fill</t>
  </si>
  <si>
    <r>
      <rPr>
        <rFont val="Calibri"/>
        <b/>
        <color rgb="FF000000"/>
        <sz val="11.0"/>
      </rPr>
      <t xml:space="preserve">Calculated Cell 
</t>
    </r>
    <r>
      <rPr>
        <rFont val="Google Sans"/>
        <b val="0"/>
        <color rgb="FF999999"/>
        <sz val="9.0"/>
      </rPr>
      <t>(公式計算的輸出單元格)</t>
    </r>
  </si>
  <si>
    <r>
      <rPr>
        <rFont val="Calibri"/>
        <b/>
        <color rgb="FF000000"/>
        <sz val="11.0"/>
      </rPr>
      <t xml:space="preserve">Multi-layer FPC (3L+)
</t>
    </r>
    <r>
      <rPr>
        <rFont val="Google Sans"/>
        <b/>
        <color rgb="FF999999"/>
        <sz val="9.0"/>
      </rPr>
      <t>(多層板)</t>
    </r>
  </si>
  <si>
    <r>
      <rPr>
        <rFont val="Calibri"/>
        <color rgb="FF000000"/>
        <sz val="11.0"/>
      </rPr>
      <t xml:space="preserve">Signals outputs calculated dynamically via Excel formulas. NEVER overwrite these.
</t>
    </r>
    <r>
      <rPr>
        <rFont val="Google Sans"/>
        <color rgb="FF999999"/>
        <sz val="9.0"/>
      </rPr>
      <t>標示透過 Excel 公式動態計算的輸出結果。請絕對不要覆寫這些儲存格。</t>
    </r>
  </si>
  <si>
    <t>Navy / Steel Blue Fill</t>
  </si>
  <si>
    <r>
      <rPr>
        <rFont val="Calibri"/>
        <b/>
        <color rgb="FF000000"/>
        <sz val="11.0"/>
      </rPr>
      <t xml:space="preserve">Header / Section Divider 
</t>
    </r>
    <r>
      <rPr>
        <rFont val="Google Sans"/>
        <b val="0"/>
        <color rgb="FF999999"/>
        <sz val="9.0"/>
      </rPr>
      <t>(表格標題與區隔)</t>
    </r>
  </si>
  <si>
    <r>
      <rPr>
        <rFont val="Calibri"/>
        <b/>
        <color rgb="FFFFFFFF"/>
        <sz val="11.0"/>
      </rPr>
      <t>Total / Weighted Avg</t>
    </r>
    <r>
      <rPr>
        <rFont val="Google Sans"/>
        <b/>
        <color rgb="FFD9D9D9"/>
        <sz val="9.0"/>
      </rPr>
      <t xml:space="preserve"> (合計/綜合平均)</t>
    </r>
  </si>
  <si>
    <r>
      <rPr>
        <rFont val="Calibri"/>
        <color rgb="FF000000"/>
        <sz val="11.0"/>
      </rPr>
      <t xml:space="preserve">Used for table headers and logical section dividers to make the sheets readable.
</t>
    </r>
    <r>
      <rPr>
        <rFont val="Google Sans"/>
        <color rgb="FF999999"/>
        <sz val="9.0"/>
      </rPr>
      <t>用於表格標題與邏輯區塊分隔，以提升工作表的可讀性。</t>
    </r>
  </si>
  <si>
    <t>No / White Fill</t>
  </si>
  <si>
    <r>
      <rPr>
        <rFont val="Calibri"/>
        <b/>
        <color rgb="FF000000"/>
        <sz val="11.0"/>
      </rPr>
      <t xml:space="preserve">Standard / Reference Cell 
</t>
    </r>
    <r>
      <rPr>
        <rFont val="Google Sans"/>
        <b val="0"/>
        <color rgb="FF999999"/>
        <sz val="9.0"/>
      </rPr>
      <t>(常規數據與說明)</t>
    </r>
  </si>
  <si>
    <r>
      <rPr>
        <rFont val="Calibri"/>
        <color rgb="FF000000"/>
        <sz val="11.0"/>
      </rPr>
      <t xml:space="preserve">Used for standard text descriptions, labels, and notes.
</t>
    </r>
    <r>
      <rPr>
        <rFont val="Google Sans"/>
        <color rgb="FF999999"/>
        <sz val="9.0"/>
      </rPr>
      <t>用於標準文字描述、標籤與備註。</t>
    </r>
  </si>
  <si>
    <t xml:space="preserve">Project Strategic Mission </t>
  </si>
  <si>
    <t>1. Project Indo-Phoenix targets establishing India's first end-to-end manufacturing facility for high-end, aerospace, and defense-grade flexible printed circuits (FPCs).</t>
  </si>
  <si>
    <t>2. Rather than competing in low-end SMT assembly or LED strip production, the project focuses on high-margin, front-end 'Wet Process Bare Board' manufacturing where local capacity is 0%.</t>
  </si>
  <si>
    <t>3. This factsheet sets a standard parameter format. It is loaded with reference metrics from FOXLINK Kunshan (China) plant and contrasted with Indian localized projections.</t>
  </si>
  <si>
    <t>4. This tool is fully formula-driven. It classifies operating cost behaviors to dynamically calculate the Break-Even Point (BEP) based on capacity utilization.</t>
  </si>
  <si>
    <t>5. The model is structured for 'modular brownfield investment' where capital expenditure can be minimized by utilizing investors' existing factory space or utilities.</t>
  </si>
  <si>
    <t>專案核心戰略使命</t>
  </si>
  <si>
    <t>1. 印度鳳凰計畫 (Project Indo-Phoenix) 旨在建立印度第一座針對高階、航太與國防等級軟性印刷電路板 (FPC) 的端到端製造工廠。</t>
  </si>
  <si>
    <t>2. 該計畫不參與低階 SMT 表面黏著組裝或 LED 燈條生產的競爭，而是專注於高毛利、前端的「濕製程裸板」製造，目前該領域的印度在地產能為 0%。</t>
  </si>
  <si>
    <t>3. 本數據表建立了一個標準參數格式。其中載入了來自富港（中國崑山）廠的參考指標，並與印度在地化的預估數據進行對比。</t>
  </si>
  <si>
    <t>4. 此工具完全由公式驅動。它將營運成本行為進行分類，以根據產能利用率動態計算損益兩平點 (BEP)。</t>
  </si>
  <si>
    <r>
      <rPr>
        <rFont val="Calibri"/>
        <b/>
        <color rgb="FF000000"/>
        <sz val="11.0"/>
      </rPr>
      <t xml:space="preserve">Base Monthly Capacity Standard 
</t>
    </r>
    <r>
      <rPr>
        <rFont val="Google Sans"/>
        <b/>
        <color rgb="FF999999"/>
        <sz val="9.0"/>
      </rPr>
      <t>(m² / 月產能基準)</t>
    </r>
  </si>
  <si>
    <t>5. 該模型專為「模組化棕地投資 (brownfield investment)」而設計，透過利用投資者現有的廠房空間或公用設施，可將資本支出降至最低。</t>
  </si>
  <si>
    <t>Standard target capacity. Governs dynamic volume calculations above.標準目標產能。用於控制上述的動態產量計算</t>
  </si>
  <si>
    <r>
      <rPr>
        <rFont val="Calibri"/>
        <b/>
        <color rgb="FFFFFFFF"/>
        <sz val="12.0"/>
      </rPr>
      <t>MODULE 2: FACTORY AREA &amp; SPACE ALLOCATION</t>
    </r>
    <r>
      <rPr>
        <rFont val="Google Sans"/>
        <b/>
        <color rgb="FFD9D9D9"/>
        <sz val="9.0"/>
      </rPr>
      <t xml:space="preserve"> (廠房面積與空間分配)</t>
    </r>
  </si>
  <si>
    <r>
      <rPr>
        <rFont val="Calibri"/>
        <b/>
        <color rgb="FFFFFFFF"/>
        <sz val="11.0"/>
      </rPr>
      <t xml:space="preserve">Factory Area / Space Division
</t>
    </r>
    <r>
      <rPr>
        <rFont val="Google Sans"/>
        <b/>
        <color rgb="FFD9D9D9"/>
        <sz val="9.0"/>
      </rPr>
      <t>(廠房空間分區)</t>
    </r>
  </si>
  <si>
    <r>
      <rPr>
        <rFont val="Calibri"/>
        <b/>
        <color rgb="FFFFFFFF"/>
        <sz val="11.0"/>
      </rPr>
      <t xml:space="preserve">Kunshan Ref (m²)
</t>
    </r>
    <r>
      <rPr>
        <rFont val="Google Sans"/>
        <b/>
        <color rgb="FFD9D9D9"/>
        <sz val="9.0"/>
      </rPr>
      <t>(崑山參考面積)</t>
    </r>
  </si>
  <si>
    <r>
      <rPr>
        <rFont val="Calibri"/>
        <b/>
        <color rgb="FFFFFFFF"/>
        <sz val="11.0"/>
      </rPr>
      <t xml:space="preserve">India Project (m²)
</t>
    </r>
    <r>
      <rPr>
        <rFont val="Google Sans"/>
        <b/>
        <color rgb="FFD9D9D9"/>
        <sz val="9.0"/>
      </rPr>
      <t>(印度預估面積)</t>
    </r>
  </si>
  <si>
    <r>
      <rPr>
        <rFont val="Calibri"/>
        <b/>
        <color rgb="FFFFFFFF"/>
        <sz val="11.0"/>
      </rPr>
      <t xml:space="preserve">Environmental Standards
</t>
    </r>
    <r>
      <rPr>
        <rFont val="Google Sans"/>
        <b/>
        <color rgb="FFD9D9D9"/>
        <sz val="9.0"/>
      </rPr>
      <t>(溫濕度與潔淨落塵標準)</t>
    </r>
  </si>
  <si>
    <r>
      <rPr>
        <rFont val="Calibri"/>
        <b/>
        <color rgb="FFFFFFFF"/>
        <sz val="11.0"/>
      </rPr>
      <t xml:space="preserve">Key Processes / Equipments
</t>
    </r>
    <r>
      <rPr>
        <rFont val="Google Sans"/>
        <b/>
        <color rgb="FFD9D9D9"/>
        <sz val="9.0"/>
      </rPr>
      <t>(核心工藝與設備)</t>
    </r>
  </si>
  <si>
    <r>
      <rPr>
        <rFont val="Calibri"/>
        <b/>
        <color rgb="FFFFFFFF"/>
        <sz val="11.0"/>
      </rPr>
      <t xml:space="preserve">ZLD &amp; Infrastructure Notes
</t>
    </r>
    <r>
      <rPr>
        <rFont val="Google Sans"/>
        <b/>
        <color rgb="FFD9D9D9"/>
        <sz val="9.0"/>
      </rPr>
      <t>(環保與基建備註)</t>
    </r>
  </si>
  <si>
    <r>
      <rPr>
        <rFont val="Calibri"/>
        <b/>
        <color rgb="FF000000"/>
        <sz val="11.0"/>
      </rPr>
      <t xml:space="preserve">Cleanroom Yellow Light 
</t>
    </r>
    <r>
      <rPr>
        <rFont val="Google Sans"/>
        <b/>
        <color rgb="FF999999"/>
        <sz val="9.0"/>
      </rPr>
      <t>(黄光曝光區)</t>
    </r>
  </si>
  <si>
    <r>
      <rPr>
        <rFont val="Calibri"/>
        <color rgb="FF000000"/>
        <sz val="11.0"/>
      </rPr>
      <t xml:space="preserve">Class 10,000, Temp 22±2°C, Humidity 55±5%
</t>
    </r>
    <r>
      <rPr>
        <rFont val="Google Sans"/>
        <color rgb="FF999999"/>
        <sz val="9.0"/>
      </rPr>
      <t>萬級無塵室，溫度 22±2°C，濕度 55±5%</t>
    </r>
  </si>
  <si>
    <r>
      <rPr>
        <rFont val="Calibri"/>
        <color rgb="FF000000"/>
        <sz val="11.0"/>
      </rPr>
      <t xml:space="preserve">LDI Direct Imaging, Dry Film Lamination
</t>
    </r>
    <r>
      <rPr>
        <rFont val="Google Sans"/>
        <color rgb="FF999999"/>
        <sz val="9.0"/>
      </rPr>
      <t>LDI 直接成像，乾膜壓膜</t>
    </r>
  </si>
  <si>
    <r>
      <rPr>
        <rFont val="Calibri"/>
        <color rgb="FF000000"/>
        <sz val="11.0"/>
      </rPr>
      <t xml:space="preserve">High ambient temp in India requires 40% higher HVAC capacity
</t>
    </r>
    <r>
      <rPr>
        <rFont val="Google Sans"/>
        <color rgb="FF999999"/>
        <sz val="9.0"/>
      </rPr>
      <t>印度的高環境溫度需要增加 40% 的暖通空調 (HVAC) 容量。</t>
    </r>
  </si>
  <si>
    <r>
      <rPr>
        <rFont val="Calibri"/>
        <b/>
        <color rgb="FF000000"/>
        <sz val="11.0"/>
      </rPr>
      <t xml:space="preserve">Wet Process Chemical Area 
</t>
    </r>
    <r>
      <rPr>
        <rFont val="Google Sans"/>
        <b/>
        <color rgb="FF999999"/>
        <sz val="9.0"/>
      </rPr>
      <t>(濕製程化學區)</t>
    </r>
  </si>
  <si>
    <r>
      <rPr>
        <rFont val="Calibri"/>
        <color rgb="FF000000"/>
        <sz val="11.0"/>
      </rPr>
      <t xml:space="preserve">FRP anti-acid floor, dedicated exhaust
</t>
    </r>
    <r>
      <rPr>
        <rFont val="Google Sans"/>
        <color rgb="FF999999"/>
        <sz val="9.0"/>
      </rPr>
      <t>FRP 防酸地板，專用排氣系統</t>
    </r>
  </si>
  <si>
    <r>
      <rPr>
        <rFont val="Calibri"/>
        <color rgb="FF000000"/>
        <sz val="11.0"/>
      </rPr>
      <t xml:space="preserve">VCP Continuous Plating, DES Line
</t>
    </r>
    <r>
      <rPr>
        <rFont val="Google Sans"/>
        <color rgb="FF999999"/>
        <sz val="9.0"/>
      </rPr>
      <t>VCP 連續電鍍，DES 生產線</t>
    </r>
  </si>
  <si>
    <r>
      <rPr>
        <rFont val="Calibri"/>
        <color rgb="FF000000"/>
        <sz val="11.0"/>
      </rPr>
      <t xml:space="preserve">Requires local pollution control (SPCB) CTE/CTO approval
</t>
    </r>
    <r>
      <rPr>
        <rFont val="Google Sans"/>
        <color rgb="FF999999"/>
        <sz val="9.0"/>
      </rPr>
      <t>需要取得當地污染控制局 (SPCB) 的建廠同意書/營運同意書 (CTE/CTO) 批准。</t>
    </r>
  </si>
  <si>
    <r>
      <rPr>
        <rFont val="Calibri"/>
        <b/>
        <color rgb="FF000000"/>
        <sz val="11.0"/>
      </rPr>
      <t xml:space="preserve">Drilling &amp; Vacuum Lamination 
</t>
    </r>
    <r>
      <rPr>
        <rFont val="Google Sans"/>
        <b/>
        <color rgb="FF999999"/>
        <sz val="9.0"/>
      </rPr>
      <t>(鑽孔與壓合區)</t>
    </r>
  </si>
  <si>
    <r>
      <rPr>
        <rFont val="Calibri"/>
        <color rgb="FF000000"/>
        <sz val="11.0"/>
      </rPr>
      <t xml:space="preserve">Strict floor load: 1.5 tons/m²
</t>
    </r>
    <r>
      <rPr>
        <rFont val="Google Sans"/>
        <color rgb="FF999999"/>
        <sz val="9.0"/>
      </rPr>
      <t xml:space="preserve">嚴格的地板載重：1.5 噸/平方公尺
</t>
    </r>
    <r>
      <rPr>
        <rFont val="Calibri"/>
        <color rgb="FF000000"/>
        <sz val="11.0"/>
      </rPr>
      <t xml:space="preserve">
</t>
    </r>
  </si>
  <si>
    <r>
      <rPr>
        <rFont val="Calibri"/>
        <color rgb="FF000000"/>
        <sz val="11.0"/>
      </rPr>
      <t xml:space="preserve">Laser Drill, Vacuum Hot Press
</t>
    </r>
    <r>
      <rPr>
        <rFont val="Google Sans"/>
        <color rgb="FF999999"/>
        <sz val="9.0"/>
      </rPr>
      <t>雷射鑽孔，真空熱壓合</t>
    </r>
  </si>
  <si>
    <r>
      <rPr>
        <rFont val="Calibri"/>
        <color rgb="FF000000"/>
        <sz val="11.0"/>
      </rPr>
      <t xml:space="preserve">Micro-vibration isolated floor base required
</t>
    </r>
    <r>
      <rPr>
        <rFont val="Google Sans"/>
        <color rgb="FF999999"/>
        <sz val="9.0"/>
      </rPr>
      <t>需要具備微震隔離功能的地板基座。</t>
    </r>
  </si>
  <si>
    <r>
      <rPr>
        <rFont val="Calibri"/>
        <b/>
        <color rgb="FF000000"/>
        <sz val="11.0"/>
      </rPr>
      <t xml:space="preserve">Raw Material Temp Warehouse 
</t>
    </r>
    <r>
      <rPr>
        <rFont val="Google Sans"/>
        <b/>
        <color rgb="FF999999"/>
        <sz val="9.0"/>
      </rPr>
      <t>(低溫材料倉)</t>
    </r>
  </si>
  <si>
    <r>
      <rPr>
        <rFont val="Calibri"/>
        <color rgb="FF000000"/>
        <sz val="11.0"/>
      </rPr>
      <t xml:space="preserve">Cold Storage 2-10°C, strict humidity control
</t>
    </r>
    <r>
      <rPr>
        <rFont val="Google Sans"/>
        <color rgb="FF999999"/>
        <sz val="9.0"/>
      </rPr>
      <t>冷藏室 2-10°C，嚴格的濕度控制</t>
    </r>
  </si>
  <si>
    <r>
      <rPr>
        <rFont val="Calibri"/>
        <color rgb="FF000000"/>
        <sz val="11.0"/>
      </rPr>
      <t xml:space="preserve">FCCL, Coverlay, chemical storage
</t>
    </r>
    <r>
      <rPr>
        <rFont val="Google Sans"/>
        <color rgb="FF999999"/>
        <sz val="9.0"/>
      </rPr>
      <t>軟性銅箔基板 (FCCL)、覆蓋膜、化學品儲存</t>
    </r>
  </si>
  <si>
    <r>
      <rPr>
        <rFont val="Calibri"/>
        <color rgb="FF000000"/>
        <sz val="11.0"/>
      </rPr>
      <t xml:space="preserve">45-60 Days Safety Stock in India (vs 7-14 in Kunshan) due to logistics
</t>
    </r>
    <r>
      <rPr>
        <rFont val="Google Sans"/>
        <color rgb="FF999999"/>
        <sz val="9.0"/>
      </rPr>
      <t>受限於物流因素，印度的安全庫存天數需 45-60 天（相較於崑山的 7-14 天）</t>
    </r>
  </si>
  <si>
    <r>
      <rPr>
        <rFont val="Calibri"/>
        <b/>
        <color rgb="FF000000"/>
        <sz val="11.0"/>
      </rPr>
      <t xml:space="preserve">Wastewater &amp; ZLD Facility 
</t>
    </r>
    <r>
      <rPr>
        <rFont val="Google Sans"/>
        <b/>
        <color rgb="FF999999"/>
        <sz val="9.0"/>
      </rPr>
      <t>(廢水與環保區)</t>
    </r>
  </si>
  <si>
    <r>
      <rPr>
        <rFont val="Calibri"/>
        <color rgb="FF000000"/>
        <sz val="11.0"/>
      </rPr>
      <t xml:space="preserve">Zero Liquid Discharge (ZLD) Mandate
</t>
    </r>
    <r>
      <rPr>
        <rFont val="Google Sans"/>
        <color rgb="FF999999"/>
        <sz val="9.0"/>
      </rPr>
      <t>廢水零排放 (ZLD) 強制要求</t>
    </r>
  </si>
  <si>
    <r>
      <rPr>
        <rFont val="Calibri"/>
        <color rgb="FF000000"/>
        <sz val="11.0"/>
      </rPr>
      <t xml:space="preserve">MVR Evaporators, Multi-stage RO
</t>
    </r>
    <r>
      <rPr>
        <rFont val="Google Sans"/>
        <color rgb="FF999999"/>
        <sz val="9.0"/>
      </rPr>
      <t>MVR 蒸發器，多級逆滲透 (RO)</t>
    </r>
  </si>
  <si>
    <r>
      <rPr>
        <rFont val="Calibri"/>
        <color rgb="FF000000"/>
        <sz val="11.0"/>
      </rPr>
      <t xml:space="preserve">3x larger footprint than Kunshan. Essential regulatory filter
</t>
    </r>
    <r>
      <rPr>
        <rFont val="Google Sans"/>
        <color rgb="FF999999"/>
        <sz val="9.0"/>
      </rPr>
      <t>佔地面積為崑山的 3 倍。為符合法規要求的必要過濾設施。</t>
    </r>
  </si>
  <si>
    <r>
      <rPr>
        <rFont val="Calibri"/>
        <b/>
        <color rgb="FFFFFFFF"/>
        <sz val="11.0"/>
      </rPr>
      <t>Total Building Area</t>
    </r>
    <r>
      <rPr>
        <rFont val="Google Sans"/>
        <b/>
        <color rgb="FFD9D9D9"/>
        <sz val="9.0"/>
      </rPr>
      <t xml:space="preserve"> (總廠房面積)</t>
    </r>
  </si>
  <si>
    <t>Total factory layout size. Reflects the heavy industrial wet-process scale. 總廠房佈局面積。反映了重工業濕過程的規模</t>
  </si>
  <si>
    <r>
      <rPr>
        <rFont val="Calibri"/>
        <b/>
        <color rgb="FFFFFFFF"/>
        <sz val="12.0"/>
      </rPr>
      <t>MODULE 3: CAPITAL EXPENDITURES (CapEx) COMPARISON &amp; SPECS SUBSIDY</t>
    </r>
    <r>
      <rPr>
        <rFont val="Google Sans"/>
        <b/>
        <color rgb="FFD9D9D9"/>
        <sz val="9.0"/>
      </rPr>
      <t xml:space="preserve"> (資本支出 (CapEx) 比較與 SPECS 補貼)</t>
    </r>
  </si>
  <si>
    <r>
      <rPr>
        <rFont val="Calibri"/>
        <b/>
        <color rgb="FFFFFFFF"/>
        <sz val="11.0"/>
      </rPr>
      <t xml:space="preserve">CapEx Classification Project
</t>
    </r>
    <r>
      <rPr>
        <rFont val="Google Sans"/>
        <b/>
        <color rgb="FFD9D9D9"/>
        <sz val="9.0"/>
      </rPr>
      <t>(資本支出分類項目)</t>
    </r>
  </si>
  <si>
    <r>
      <rPr>
        <rFont val="Calibri"/>
        <b/>
        <color rgb="FFFFFFFF"/>
        <sz val="11.0"/>
      </rPr>
      <t xml:space="preserve">Kunshan Ref (USD)
</t>
    </r>
    <r>
      <rPr>
        <rFont val="Google Sans"/>
        <b/>
        <color rgb="FFD9D9D9"/>
        <sz val="9.0"/>
      </rPr>
      <t>(崑山參考預算)</t>
    </r>
  </si>
  <si>
    <r>
      <rPr>
        <rFont val="Calibri"/>
        <b/>
        <color rgb="FFFFFFFF"/>
        <sz val="11.0"/>
      </rPr>
      <t xml:space="preserve">India Project (USD)
</t>
    </r>
    <r>
      <rPr>
        <rFont val="Google Sans"/>
        <b/>
        <color rgb="FFD9D9D9"/>
        <sz val="9.0"/>
      </rPr>
      <t>(印度在地建置預算)</t>
    </r>
  </si>
  <si>
    <r>
      <rPr>
        <rFont val="Calibri"/>
        <b/>
        <color rgb="FFFFFFFF"/>
        <sz val="11.0"/>
      </rPr>
      <t xml:space="preserve">Share %
</t>
    </r>
    <r>
      <rPr>
        <rFont val="Google Sans"/>
        <b/>
        <color rgb="FFD9D9D9"/>
        <sz val="9.0"/>
      </rPr>
      <t>(比例)</t>
    </r>
  </si>
  <si>
    <r>
      <rPr>
        <rFont val="Calibri"/>
        <b/>
        <color rgb="FFFFFFFF"/>
        <sz val="11.0"/>
      </rPr>
      <t xml:space="preserve">SPECS Subsidy Refund (25%)
</t>
    </r>
    <r>
      <rPr>
        <rFont val="Google Sans"/>
        <b/>
        <color rgb="FFD9D9D9"/>
        <sz val="9.0"/>
      </rPr>
      <t>(政府補貼現金返還)</t>
    </r>
  </si>
  <si>
    <r>
      <rPr>
        <rFont val="Calibri"/>
        <b/>
        <color rgb="FFFFFFFF"/>
        <sz val="11.0"/>
      </rPr>
      <t xml:space="preserve">Net Indian Inv (USD)
</t>
    </r>
    <r>
      <rPr>
        <rFont val="Google Sans"/>
        <b/>
        <color rgb="FFD9D9D9"/>
        <sz val="9.0"/>
      </rPr>
      <t>(扣除補貼後淨投入)</t>
    </r>
  </si>
  <si>
    <r>
      <rPr>
        <rFont val="Calibri"/>
        <b/>
        <color rgb="FFFFFFFF"/>
        <sz val="11.0"/>
      </rPr>
      <t xml:space="preserve">Taiwan Technical Group Boundary
</t>
    </r>
    <r>
      <rPr>
        <rFont val="Google Sans"/>
        <b/>
        <color rgb="FFD9D9D9"/>
        <sz val="9.0"/>
      </rPr>
      <t>(技術股責任與管理邊界)</t>
    </r>
  </si>
  <si>
    <r>
      <rPr>
        <rFont val="Calibri"/>
        <b/>
        <color rgb="FF000000"/>
        <sz val="11.0"/>
      </rPr>
      <t xml:space="preserve">Core Production &amp; Test Equipment
</t>
    </r>
    <r>
      <rPr>
        <rFont val="Google Sans"/>
        <b/>
        <color rgb="FF999999"/>
        <sz val="9.0"/>
      </rPr>
      <t>核心生產與測試設備</t>
    </r>
  </si>
  <si>
    <r>
      <rPr>
        <rFont val="Calibri"/>
        <color rgb="FF000000"/>
        <sz val="11.0"/>
      </rPr>
      <t xml:space="preserve">Direct Vendor-code support (DuPont, Taiflex, Panasonic). Verify machines at source via CEC green channel.
</t>
    </r>
    <r>
      <rPr>
        <rFont val="Google Sans"/>
        <color rgb="FF999999"/>
        <sz val="9.0"/>
      </rPr>
      <t>直接供應商代碼支援（杜邦、台虹、松下）。透過 CEC 綠色通道於原廠進行機台驗證。</t>
    </r>
  </si>
  <si>
    <r>
      <rPr>
        <rFont val="Calibri"/>
        <b/>
        <color rgb="FF000000"/>
        <sz val="11.0"/>
      </rPr>
      <t xml:space="preserve">Plant &amp; Environmental Infrastructure (ZLD)
</t>
    </r>
    <r>
      <rPr>
        <rFont val="Google Sans"/>
        <b/>
        <color rgb="FF999999"/>
        <sz val="9.0"/>
      </rPr>
      <t>廠房與環保基礎設施 (ZLD/廢水零排放)</t>
    </r>
  </si>
  <si>
    <r>
      <rPr>
        <rFont val="Calibri"/>
        <color rgb="FF000000"/>
        <sz val="11.0"/>
      </rPr>
      <t xml:space="preserve">Define design specifications. Water treatment chemical inputs. Actual local engineering &amp; CTE/CTO by Promoter.
</t>
    </r>
    <r>
      <rPr>
        <rFont val="Google Sans"/>
        <color rgb="FF999999"/>
        <sz val="9.0"/>
      </rPr>
      <t>制定設計規範。水處理化學品投入。實際的當地工程及 CTE/CTO（建廠同意書/營運同意書）由發起人負責。</t>
    </r>
  </si>
  <si>
    <r>
      <rPr>
        <rFont val="Calibri"/>
        <b/>
        <color rgb="FF000000"/>
        <sz val="11.0"/>
      </rPr>
      <t xml:space="preserve">Plant Building &amp; Cleanrooms
</t>
    </r>
    <r>
      <rPr>
        <rFont val="Google Sans"/>
        <b/>
        <color rgb="FF999999"/>
        <sz val="9.0"/>
      </rPr>
      <t>廠房建築與無塵室</t>
    </r>
  </si>
  <si>
    <r>
      <rPr>
        <rFont val="Calibri"/>
        <color rgb="FF000000"/>
        <sz val="11.0"/>
      </rPr>
      <t xml:space="preserve">Output plant Layout, Class 10K/100K cleanliness. HVAC humidity specifications. Actual civil construction by Promoter.
</t>
    </r>
    <r>
      <rPr>
        <rFont val="Google Sans"/>
        <color rgb="FF999999"/>
        <sz val="9.0"/>
      </rPr>
      <t>輸出廠房佈局、10K/100K 等級無塵室潔淨度。暖通空調 (HVAC) 濕度規範。實際土建工程由發起人負責。</t>
    </r>
  </si>
  <si>
    <r>
      <rPr>
        <rFont val="Calibri"/>
        <b/>
        <color rgb="FFFFFFFF"/>
        <sz val="11.0"/>
      </rPr>
      <t>Total Initial CapEx</t>
    </r>
    <r>
      <rPr>
        <rFont val="Google Sans"/>
        <b/>
        <color rgb="FFD9D9D9"/>
        <sz val="9.0"/>
      </rPr>
      <t xml:space="preserve"> (建廠總資本支出)</t>
    </r>
  </si>
  <si>
    <r>
      <rPr>
        <rFont val="Calibri"/>
        <b/>
        <color rgb="FFFFFFFF"/>
        <sz val="11.0"/>
      </rPr>
      <t xml:space="preserve">SPECS 25% cash-back applies strictly to machinery &amp; factory assets.
</t>
    </r>
    <r>
      <rPr>
        <rFont val="Google Sans"/>
        <b/>
        <color rgb="FFD9D9D9"/>
        <sz val="9.0"/>
      </rPr>
      <t>SPECS 25% 現金返還僅嚴格適用於機器設備與廠房資產。</t>
    </r>
  </si>
  <si>
    <t>MODULE 4: DYNAMIC MONTHLY OPERATING EXPENSES (OpEx) &amp; COST BEHAVIOR</t>
  </si>
  <si>
    <r>
      <rPr>
        <rFont val="Calibri"/>
        <b/>
        <color rgb="FFFFFFFF"/>
        <sz val="11.0"/>
      </rPr>
      <t xml:space="preserve">OpEx Cost Classification
</t>
    </r>
    <r>
      <rPr>
        <rFont val="Google Sans"/>
        <b/>
        <color rgb="FFD9D9D9"/>
        <sz val="9.0"/>
      </rPr>
      <t>(營運成本項目)</t>
    </r>
  </si>
  <si>
    <r>
      <rPr>
        <rFont val="Calibri"/>
        <b/>
        <color rgb="FFFFFFFF"/>
        <sz val="11.0"/>
      </rPr>
      <t xml:space="preserve">Kunshan Monthly (USD)
</t>
    </r>
    <r>
      <rPr>
        <rFont val="Google Sans"/>
        <b/>
        <color rgb="FFD9D9D9"/>
        <sz val="9.0"/>
      </rPr>
      <t>(崑山單月成本)</t>
    </r>
  </si>
  <si>
    <r>
      <rPr>
        <rFont val="Calibri"/>
        <b/>
        <color rgb="FFFFFFFF"/>
        <sz val="11.0"/>
      </rPr>
      <t xml:space="preserve">India Projected (USD)
</t>
    </r>
    <r>
      <rPr>
        <rFont val="Google Sans"/>
        <b/>
        <color rgb="FFD9D9D9"/>
        <sz val="9.0"/>
      </rPr>
      <t>(印度單月成本)</t>
    </r>
  </si>
  <si>
    <r>
      <rPr>
        <rFont val="Calibri"/>
        <b/>
        <color rgb="FFFFFFFF"/>
        <sz val="11.0"/>
      </rPr>
      <t xml:space="preserve">Share %
</t>
    </r>
    <r>
      <rPr>
        <rFont val="Google Sans"/>
        <b/>
        <color rgb="FFD9D9D9"/>
        <sz val="9.0"/>
      </rPr>
      <t>(比例)</t>
    </r>
  </si>
  <si>
    <r>
      <rPr>
        <rFont val="Calibri"/>
        <b/>
        <color rgb="FFFFFFFF"/>
        <sz val="11.0"/>
      </rPr>
      <t xml:space="preserve">Variable Cost %
</t>
    </r>
    <r>
      <rPr>
        <rFont val="Google Sans"/>
        <b/>
        <color rgb="FFD9D9D9"/>
        <sz val="9.0"/>
      </rPr>
      <t>(可變成本比例)</t>
    </r>
  </si>
  <si>
    <r>
      <rPr>
        <rFont val="Calibri"/>
        <b/>
        <color rgb="FFFFFFFF"/>
        <sz val="11.0"/>
      </rPr>
      <t xml:space="preserve">Variable Portion (USD)
</t>
    </r>
    <r>
      <rPr>
        <rFont val="Google Sans"/>
        <b/>
        <color rgb="FFD9D9D9"/>
        <sz val="9.0"/>
      </rPr>
      <t>(變動成本部分)</t>
    </r>
  </si>
  <si>
    <r>
      <rPr>
        <rFont val="Calibri"/>
        <b/>
        <color rgb="FFFFFFFF"/>
        <sz val="11.0"/>
      </rPr>
      <t xml:space="preserve">Fixed Portion (USD)
</t>
    </r>
    <r>
      <rPr>
        <rFont val="Google Sans"/>
        <b/>
        <color rgb="FFD9D9D9"/>
        <sz val="9.0"/>
      </rPr>
      <t>(固定成本部分)</t>
    </r>
  </si>
  <si>
    <r>
      <rPr>
        <rFont val="Calibri"/>
        <b/>
        <color rgb="FF000000"/>
        <sz val="11.0"/>
      </rPr>
      <t xml:space="preserve">Direct Material Cost 
</t>
    </r>
    <r>
      <rPr>
        <rFont val="Google Sans"/>
        <b/>
        <color rgb="FF999999"/>
        <sz val="9.0"/>
      </rPr>
      <t>(原料與化學耗材)</t>
    </r>
  </si>
  <si>
    <r>
      <rPr>
        <rFont val="Calibri"/>
        <b/>
        <color rgb="FF000000"/>
        <sz val="11.0"/>
      </rPr>
      <t xml:space="preserve">Direct &amp; Indirect Labor 
</t>
    </r>
    <r>
      <rPr>
        <rFont val="Google Sans"/>
        <b/>
        <color rgb="FF999999"/>
        <sz val="9.0"/>
      </rPr>
      <t>(生產與專家人工)</t>
    </r>
  </si>
  <si>
    <r>
      <rPr>
        <rFont val="Calibri"/>
        <b/>
        <color rgb="FF000000"/>
        <sz val="11.0"/>
      </rPr>
      <t xml:space="preserve">Manufacturing &amp; Utilities 
</t>
    </r>
    <r>
      <rPr>
        <rFont val="Google Sans"/>
        <b/>
        <color rgb="FF999999"/>
        <sz val="9.0"/>
      </rPr>
      <t>(製造水電能耗)</t>
    </r>
  </si>
  <si>
    <r>
      <rPr>
        <rFont val="Calibri"/>
        <b/>
        <color rgb="FF000000"/>
        <sz val="11.0"/>
      </rPr>
      <t xml:space="preserve">Fixed Depreciation &amp; Amortization 
</t>
    </r>
    <r>
      <rPr>
        <rFont val="Google Sans"/>
        <b/>
        <color rgb="FF999999"/>
        <sz val="9.0"/>
      </rPr>
      <t>(折舊攤銷)</t>
    </r>
  </si>
  <si>
    <r>
      <rPr>
        <rFont val="Calibri"/>
        <b/>
        <color rgb="FFFFFFFF"/>
        <sz val="11.0"/>
      </rPr>
      <t>Total Monthly OpEx</t>
    </r>
    <r>
      <rPr>
        <rFont val="Google Sans"/>
        <b/>
        <color rgb="FFD9D9D9"/>
        <sz val="9.0"/>
      </rPr>
      <t xml:space="preserve"> (單月總營運成本)</t>
    </r>
  </si>
  <si>
    <r>
      <rPr>
        <rFont val="Calibri"/>
        <b/>
        <color rgb="FFFFFFFF"/>
        <sz val="12.0"/>
      </rPr>
      <t>MODULE 5: PROFITABILITY &amp; BREAK-EVEN ANALYSIS</t>
    </r>
    <r>
      <rPr>
        <rFont val="Google Sans"/>
        <b/>
        <color rgb="FFD9D9D9"/>
        <sz val="9.0"/>
      </rPr>
      <t xml:space="preserve"> (盈利能力與損益平衡)</t>
    </r>
  </si>
  <si>
    <r>
      <rPr>
        <rFont val="Calibri"/>
        <b/>
        <color rgb="FFFFFFFF"/>
        <sz val="11.0"/>
      </rPr>
      <t xml:space="preserve">Financial Indicator
</t>
    </r>
    <r>
      <rPr>
        <rFont val="Google Sans"/>
        <b/>
        <color rgb="FFD9D9D9"/>
        <sz val="9.0"/>
      </rPr>
      <t>(核心財務指標)</t>
    </r>
  </si>
  <si>
    <r>
      <rPr>
        <rFont val="Calibri"/>
        <b/>
        <color rgb="FFFFFFFF"/>
        <sz val="11.0"/>
      </rPr>
      <t xml:space="preserve">Monthly Value (USD)
</t>
    </r>
    <r>
      <rPr>
        <rFont val="Google Sans"/>
        <b/>
        <color rgb="FFD9D9D9"/>
        <sz val="9.0"/>
      </rPr>
      <t>(單月預估值)</t>
    </r>
  </si>
  <si>
    <r>
      <rPr>
        <rFont val="Calibri"/>
        <b/>
        <color rgb="FFFFFFFF"/>
        <sz val="11.0"/>
      </rPr>
      <t xml:space="preserve">Annual Value (USD)
</t>
    </r>
    <r>
      <rPr>
        <rFont val="Google Sans"/>
        <b/>
        <color rgb="FFD9D9D9"/>
        <sz val="9.0"/>
      </rPr>
      <t>(年度預估值)</t>
    </r>
  </si>
  <si>
    <r>
      <rPr>
        <rFont val="Calibri"/>
        <b/>
        <color rgb="FFFFFFFF"/>
        <sz val="11.0"/>
      </rPr>
      <t xml:space="preserve">Margin / Parameter Value
</t>
    </r>
    <r>
      <rPr>
        <rFont val="Google Sans"/>
        <b/>
        <color rgb="FFD9D9D9"/>
        <sz val="9.0"/>
      </rPr>
      <t>(毛利率 / 評估指標值)</t>
    </r>
  </si>
  <si>
    <r>
      <rPr>
        <rFont val="Calibri"/>
        <b/>
        <color rgb="FFFFFFFF"/>
        <sz val="11.0"/>
      </rPr>
      <t xml:space="preserve">Strategic Explanation &amp; Target Benchmarks
</t>
    </r>
    <r>
      <rPr>
        <rFont val="Google Sans"/>
        <b/>
        <color rgb="FFD9D9D9"/>
        <sz val="9.0"/>
      </rPr>
      <t>(業界標準與決策建議指標)</t>
    </r>
  </si>
  <si>
    <r>
      <rPr>
        <rFont val="Calibri"/>
        <b/>
        <color rgb="FF000000"/>
        <sz val="11.0"/>
      </rPr>
      <t xml:space="preserve">Target Sales Revenue 
</t>
    </r>
    <r>
      <rPr>
        <rFont val="Google Sans"/>
        <b/>
        <color rgb="FF999999"/>
        <sz val="9.0"/>
      </rPr>
      <t>(營業收入)</t>
    </r>
  </si>
  <si>
    <t>100.0%</t>
  </si>
  <si>
    <r>
      <rPr>
        <rFont val="Calibri"/>
        <color rgb="FF000000"/>
        <sz val="11.0"/>
      </rPr>
      <t xml:space="preserve">At 15,000 m²/month full-capacity operation, weighted average price is $140/m².
</t>
    </r>
    <r>
      <rPr>
        <rFont val="Google Sans"/>
        <color rgb="FF999999"/>
        <sz val="9.0"/>
      </rPr>
      <t>在每月 15,000 平方公尺滿載運營下，加權平均價格為 140 美元/平方公尺。</t>
    </r>
  </si>
  <si>
    <r>
      <rPr>
        <rFont val="Calibri"/>
        <b/>
        <color rgb="FF000000"/>
        <sz val="11.0"/>
      </rPr>
      <t xml:space="preserve">Operating Expenses 
</t>
    </r>
    <r>
      <rPr>
        <rFont val="Google Sans"/>
        <b/>
        <color rgb="FF999999"/>
        <sz val="9.0"/>
      </rPr>
      <t>(營運成本)</t>
    </r>
  </si>
  <si>
    <r>
      <rPr>
        <rFont val="Calibri"/>
        <color rgb="FF000000"/>
        <sz val="11.0"/>
      </rPr>
      <t xml:space="preserve">Includes materials, labor, power, water, and straight-line asset depreciation.
</t>
    </r>
    <r>
      <rPr>
        <rFont val="Google Sans"/>
        <color rgb="FF999999"/>
        <sz val="9.0"/>
      </rPr>
      <t>包含材料、人工、電力、水資源及直線法資產折舊。</t>
    </r>
  </si>
  <si>
    <r>
      <rPr>
        <rFont val="Calibri"/>
        <b/>
        <color rgb="FF000000"/>
        <sz val="11.0"/>
      </rPr>
      <t xml:space="preserve">Operating Profit / EBIT
</t>
    </r>
    <r>
      <rPr>
        <rFont val="Google Sans"/>
        <b/>
        <color rgb="FF999999"/>
        <sz val="9.0"/>
      </rPr>
      <t>(營業利潤)</t>
    </r>
  </si>
  <si>
    <r>
      <rPr>
        <rFont val="Calibri"/>
        <b/>
        <color rgb="FF000000"/>
        <sz val="11.0"/>
      </rPr>
      <t xml:space="preserve">EBIT Margin of 21.7% demonstrates excellent scale profitability when full.
</t>
    </r>
    <r>
      <rPr>
        <rFont val="Google Sans"/>
        <b/>
        <color rgb="FF999999"/>
        <sz val="9.0"/>
      </rPr>
      <t>21.7% 的息稅前利潤率 (EBIT Margin) 顯示滿載時具有極佳的規模獲利能力。</t>
    </r>
  </si>
  <si>
    <r>
      <rPr>
        <rFont val="Calibri"/>
        <b/>
        <color rgb="FF000000"/>
        <sz val="11.0"/>
      </rPr>
      <t xml:space="preserve">Break-Even Point 
</t>
    </r>
    <r>
      <rPr>
        <rFont val="Google Sans"/>
        <b/>
        <color rgb="FF999999"/>
        <sz val="9.0"/>
      </rPr>
      <t>(BEP % / 損益平衡點)</t>
    </r>
  </si>
  <si>
    <r>
      <rPr>
        <rFont val="Calibri"/>
        <color rgb="FF000000"/>
        <sz val="11.0"/>
      </rPr>
      <t xml:space="preserve">BEP of 55.7% is achieved. Standard for a highly capitalized wet-process plant.
</t>
    </r>
    <r>
      <rPr>
        <rFont val="Google Sans"/>
        <color rgb="FF999999"/>
        <sz val="9.0"/>
      </rPr>
      <t>達成 55.7% 的損益兩平點 (BEP)。這是高度資本化濕製程工廠的標準水準。</t>
    </r>
  </si>
  <si>
    <r>
      <rPr>
        <rFont val="Calibri"/>
        <b/>
        <color rgb="FF000000"/>
        <sz val="11.0"/>
      </rPr>
      <t xml:space="preserve">Sales Revenue at BEP 
</t>
    </r>
    <r>
      <rPr>
        <rFont val="Google Sans"/>
        <b/>
        <color rgb="FF999999"/>
        <sz val="9.0"/>
      </rPr>
      <t>(損益平衡月營收)</t>
    </r>
  </si>
  <si>
    <r>
      <rPr>
        <rFont val="Calibri"/>
        <color rgb="FF000000"/>
        <sz val="11.0"/>
      </rPr>
      <t xml:space="preserve">The factory crosses into dynamic profitability at $1.17 Million monthly revenue.
</t>
    </r>
    <r>
      <rPr>
        <rFont val="Google Sans"/>
        <color rgb="FF999999"/>
        <sz val="9.0"/>
      </rPr>
      <t>當月營收達到 117 萬美元時，工廠即跨入動態獲利階段。</t>
    </r>
  </si>
  <si>
    <r>
      <rPr>
        <rFont val="Calibri"/>
        <b/>
        <color rgb="FF000000"/>
        <sz val="11.0"/>
      </rPr>
      <t xml:space="preserve">Internal Rate of Return 
</t>
    </r>
    <r>
      <rPr>
        <rFont val="Google Sans"/>
        <b/>
        <color rgb="FF999999"/>
        <sz val="9.0"/>
      </rPr>
      <t>(IRR / 內部報酬率)</t>
    </r>
  </si>
  <si>
    <t>21.3% ~ 24.8%</t>
  </si>
  <si>
    <r>
      <rPr>
        <rFont val="Calibri"/>
        <color rgb="FF000000"/>
        <sz val="11.0"/>
      </rPr>
      <t xml:space="preserve">Far exceeds standard electronics manufacturing benchmarks. Highly attractive.
</t>
    </r>
    <r>
      <rPr>
        <rFont val="Google Sans"/>
        <color rgb="FF999999"/>
        <sz val="9.0"/>
      </rPr>
      <t>遠超過標準電子製造業基準。極具吸引力。</t>
    </r>
  </si>
  <si>
    <r>
      <rPr>
        <rFont val="Calibri"/>
        <b/>
        <color rgb="FF000000"/>
        <sz val="11.0"/>
      </rPr>
      <t xml:space="preserve">Investment Payback Period 
</t>
    </r>
    <r>
      <rPr>
        <rFont val="Google Sans"/>
        <b/>
        <color rgb="FF999999"/>
        <sz val="9.0"/>
      </rPr>
      <t>(靜態回收期)</t>
    </r>
  </si>
  <si>
    <t>4.2 Years</t>
  </si>
  <si>
    <r>
      <rPr>
        <rFont val="Calibri"/>
        <color rgb="FF000000"/>
        <sz val="11.0"/>
      </rPr>
      <t xml:space="preserve">Assumes SPECS 25% CapEx subsidy is cleared. Without subsidy, payback is 5.2 Years.
</t>
    </r>
    <r>
      <rPr>
        <rFont val="Google Sans"/>
        <color rgb="FF999999"/>
        <sz val="9.0"/>
      </rPr>
      <t>假設已取得 SPECS 25% 的資本支出補貼。若無補貼，回收期為 5.2 年。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</si>
</sst>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$#,##0"/>
    <numFmt numFmtId="166" formatCode="$#,##0.00"/>
  </numFmts>
  <fonts count="16">
    <font>
      <sz val="11.0"/>
      <color theme="1"/>
      <name val="Calibri"/>
      <scheme val="minor"/>
    </font>
    <font>
      <sz val="10.0"/>
      <color rgb="FF000000"/>
      <name val="Calibri"/>
    </font>
    <font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theme="1"/>
      <name val="Calibri"/>
    </font>
    <font>
      <b/>
      <sz val="11.0"/>
      <color rgb="FF000000"/>
      <name val="Calibri"/>
    </font>
    <font>
      <sz val="9.0"/>
      <color rgb="FF999999"/>
      <name val="Google Sans"/>
    </font>
    <font>
      <b/>
      <sz val="11.0"/>
      <color rgb="FFFFFFFF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9.0"/>
      <color rgb="FF999999"/>
      <name val="Google Sans"/>
    </font>
    <font>
      <i/>
      <sz val="10.0"/>
      <color rgb="FF000000"/>
      <name val="Calibri"/>
    </font>
    <font>
      <b/>
      <sz val="9.0"/>
      <color rgb="FFD9D9D9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double">
        <color rgb="FF000000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FF2F5496"/>
      </bottom>
    </border>
    <border>
      <right style="thin">
        <color rgb="FFD9D9D9"/>
      </right>
      <top style="thin">
        <color rgb="FFD9D9D9"/>
      </top>
      <bottom style="medium">
        <color rgb="FF2F5496"/>
      </bottom>
    </border>
    <border>
      <top style="thin">
        <color rgb="FFD9D9D9"/>
      </top>
      <bottom style="medium">
        <color rgb="FF2F5496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1" fillId="2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3" fontId="7" numFmtId="0" xfId="0" applyAlignment="1" applyFill="1" applyFont="1">
      <alignment readingOrder="0"/>
    </xf>
    <xf borderId="4" fillId="4" fontId="8" numFmtId="0" xfId="0" applyAlignment="1" applyBorder="1" applyFill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5" fontId="11" numFmtId="164" xfId="0" applyAlignment="1" applyBorder="1" applyFill="1" applyFont="1" applyNumberFormat="1">
      <alignment horizontal="right" shrinkToFit="0" vertical="center" wrapText="1"/>
    </xf>
    <xf borderId="5" fillId="0" fontId="12" numFmtId="3" xfId="0" applyAlignment="1" applyBorder="1" applyFont="1" applyNumberFormat="1">
      <alignment horizontal="right" shrinkToFit="0" vertical="center" wrapText="1"/>
    </xf>
    <xf borderId="5" fillId="0" fontId="13" numFmtId="0" xfId="0" applyAlignment="1" applyBorder="1" applyFont="1">
      <alignment horizontal="left" readingOrder="0" shrinkToFit="0" vertical="center" wrapText="1"/>
    </xf>
    <xf borderId="5" fillId="5" fontId="11" numFmtId="165" xfId="0" applyAlignment="1" applyBorder="1" applyFill="1" applyFont="1" applyNumberFormat="1">
      <alignment horizontal="right" shrinkToFit="0" vertical="center" wrapText="1"/>
    </xf>
    <xf borderId="5" fillId="0" fontId="12" numFmtId="165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horizontal="left" readingOrder="0" shrinkToFit="0" wrapText="1"/>
    </xf>
    <xf borderId="5" fillId="5" fontId="6" numFmtId="0" xfId="0" applyAlignment="1" applyBorder="1" applyFill="1" applyFont="1">
      <alignment horizontal="left" readingOrder="0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5" fillId="6" fontId="6" numFmtId="0" xfId="0" applyAlignment="1" applyBorder="1" applyFill="1" applyFont="1">
      <alignment horizontal="left" readingOrder="0" shrinkToFit="0" vertical="center" wrapText="1"/>
    </xf>
    <xf borderId="5" fillId="4" fontId="8" numFmtId="0" xfId="0" applyAlignment="1" applyBorder="1" applyFill="1" applyFont="1">
      <alignment horizontal="left" readingOrder="0" shrinkToFit="0" vertical="center" wrapText="1"/>
    </xf>
    <xf borderId="7" fillId="2" fontId="8" numFmtId="0" xfId="0" applyAlignment="1" applyBorder="1" applyFill="1" applyFont="1">
      <alignment readingOrder="0" shrinkToFit="0" vertical="center" wrapText="1"/>
    </xf>
    <xf borderId="7" fillId="2" fontId="8" numFmtId="164" xfId="0" applyAlignment="1" applyBorder="1" applyFill="1" applyFont="1" applyNumberFormat="1">
      <alignment horizontal="righ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7" fillId="2" fontId="8" numFmtId="3" xfId="0" applyAlignment="1" applyBorder="1" applyFill="1" applyFont="1" applyNumberFormat="1">
      <alignment horizontal="right" shrinkToFit="0" vertical="center" wrapText="1"/>
    </xf>
    <xf borderId="7" fillId="2" fontId="8" numFmtId="166" xfId="0" applyAlignment="1" applyBorder="1" applyFill="1" applyFont="1" applyNumberFormat="1">
      <alignment horizontal="right" shrinkToFit="0" vertical="center" wrapText="1"/>
    </xf>
    <xf borderId="0" fillId="0" fontId="7" numFmtId="0" xfId="0" applyAlignment="1" applyFont="1">
      <alignment readingOrder="0"/>
    </xf>
    <xf borderId="7" fillId="2" fontId="8" numFmtId="165" xfId="0" applyAlignment="1" applyBorder="1" applyFill="1" applyFont="1" applyNumberFormat="1">
      <alignment horizontal="right" shrinkToFit="0" vertical="center" wrapText="1"/>
    </xf>
    <xf borderId="0" fillId="0" fontId="7" numFmtId="0" xfId="0" applyAlignment="1" applyFont="1">
      <alignment horizontal="left" readingOrder="0" shrinkToFit="0" wrapText="0"/>
    </xf>
    <xf borderId="5" fillId="5" fontId="11" numFmtId="3" xfId="0" applyAlignment="1" applyBorder="1" applyFill="1" applyFont="1" applyNumberFormat="1">
      <alignment horizontal="right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4" fontId="8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5" fillId="5" fontId="12" numFmtId="3" xfId="0" applyAlignment="1" applyBorder="1" applyFill="1" applyFont="1" applyNumberFormat="1">
      <alignment horizontal="right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7" fillId="2" fontId="15" numFmtId="0" xfId="0" applyAlignment="1" applyBorder="1" applyFill="1" applyFont="1">
      <alignment horizontal="left" readingOrder="0" shrinkToFit="0" vertical="center" wrapText="1"/>
    </xf>
    <xf borderId="7" fillId="0" fontId="4" numFmtId="0" xfId="0" applyBorder="1" applyFont="1"/>
    <xf borderId="5" fillId="5" fontId="12" numFmtId="165" xfId="0" applyAlignment="1" applyBorder="1" applyFill="1" applyFont="1" applyNumberFormat="1">
      <alignment horizontal="right" shrinkToFit="0" vertical="center" wrapText="1"/>
    </xf>
    <xf borderId="5" fillId="0" fontId="12" numFmtId="164" xfId="0" applyAlignment="1" applyBorder="1" applyFont="1" applyNumberFormat="1">
      <alignment horizontal="right" shrinkToFit="0" vertical="center" wrapText="1"/>
    </xf>
    <xf borderId="5" fillId="0" fontId="11" numFmtId="165" xfId="0" applyAlignment="1" applyBorder="1" applyFont="1" applyNumberFormat="1">
      <alignment horizontal="right" shrinkToFit="0" vertical="center" wrapText="1"/>
    </xf>
    <xf borderId="7" fillId="2" fontId="8" numFmtId="0" xfId="0" applyAlignment="1" applyBorder="1" applyFill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5" fillId="5" fontId="11" numFmtId="10" xfId="0" applyAlignment="1" applyBorder="1" applyFill="1" applyFont="1" applyNumberFormat="1">
      <alignment horizontal="right" shrinkToFit="0" vertical="center" wrapText="1"/>
    </xf>
    <xf borderId="7" fillId="2" fontId="8" numFmtId="10" xfId="0" applyAlignment="1" applyBorder="1" applyFill="1" applyFont="1" applyNumberFormat="1">
      <alignment horizontal="right" shrinkToFit="0" vertical="center" wrapText="1"/>
    </xf>
    <xf borderId="12" fillId="0" fontId="4" numFmtId="0" xfId="0" applyBorder="1" applyFont="1"/>
    <xf borderId="5" fillId="0" fontId="12" numFmtId="0" xfId="0" applyAlignment="1" applyBorder="1" applyFont="1">
      <alignment horizontal="right" shrinkToFit="0" vertical="center" wrapText="1"/>
    </xf>
    <xf borderId="5" fillId="6" fontId="11" numFmtId="0" xfId="0" applyAlignment="1" applyBorder="1" applyFill="1" applyFont="1">
      <alignment readingOrder="0" shrinkToFit="0" vertical="center" wrapText="1"/>
    </xf>
    <xf borderId="5" fillId="6" fontId="11" numFmtId="165" xfId="0" applyAlignment="1" applyBorder="1" applyFill="1" applyFont="1" applyNumberFormat="1">
      <alignment horizontal="right" shrinkToFit="0" vertical="center" wrapText="1"/>
    </xf>
    <xf borderId="5" fillId="6" fontId="11" numFmtId="164" xfId="0" applyAlignment="1" applyBorder="1" applyFill="1" applyFont="1" applyNumberFormat="1">
      <alignment horizontal="right" shrinkToFit="0" vertical="center" wrapText="1"/>
    </xf>
    <xf borderId="6" fillId="6" fontId="11" numFmtId="0" xfId="0" applyAlignment="1" applyBorder="1" applyFill="1" applyFont="1">
      <alignment horizontal="left" readingOrder="0"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7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4.43"/>
    <col customWidth="1" min="3" max="3" width="41.43"/>
    <col customWidth="1" min="4" max="4" width="81.43"/>
    <col customWidth="1" min="5" max="21" width="8.71"/>
  </cols>
  <sheetData>
    <row r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"/>
      <c r="B2" s="6" t="s">
        <v>0</v>
      </c>
      <c r="C2" s="5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1"/>
      <c r="B3" s="9" t="s">
        <v>3</v>
      </c>
      <c r="C3" s="10" t="s">
        <v>4</v>
      </c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1"/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/>
      <c r="B5" s="12" t="s">
        <v>6</v>
      </c>
      <c r="C5" s="12" t="s">
        <v>7</v>
      </c>
      <c r="D5" s="12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/>
      <c r="B6" s="14" t="s">
        <v>10</v>
      </c>
      <c r="C6" s="15" t="s">
        <v>11</v>
      </c>
      <c r="D6" s="17" t="s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/>
      <c r="B7" s="14" t="s">
        <v>16</v>
      </c>
      <c r="C7" s="15" t="s">
        <v>18</v>
      </c>
      <c r="D7" s="21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/>
      <c r="B8" s="1"/>
      <c r="C8" s="1"/>
      <c r="D8" s="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/>
      <c r="B9" s="1"/>
      <c r="C9" s="1"/>
      <c r="D9" s="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/>
      <c r="B10" s="24" t="s">
        <v>24</v>
      </c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/>
      <c r="B11" s="25" t="s">
        <v>25</v>
      </c>
      <c r="C11" s="26" t="s">
        <v>26</v>
      </c>
      <c r="D11" s="27" t="s">
        <v>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/>
      <c r="B12" s="28" t="s">
        <v>29</v>
      </c>
      <c r="C12" s="26" t="s">
        <v>30</v>
      </c>
      <c r="D12" s="27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/>
      <c r="B13" s="29" t="s">
        <v>33</v>
      </c>
      <c r="C13" s="26" t="s">
        <v>34</v>
      </c>
      <c r="D13" s="27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/>
      <c r="B14" s="15" t="s">
        <v>37</v>
      </c>
      <c r="C14" s="26" t="s">
        <v>38</v>
      </c>
      <c r="D14" s="27" t="s">
        <v>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/>
      <c r="B15" s="1"/>
      <c r="C15" s="1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/>
      <c r="B16" s="24" t="s">
        <v>40</v>
      </c>
      <c r="C16" s="1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/>
      <c r="B17" s="32" t="s">
        <v>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/>
      <c r="B18" s="32" t="s">
        <v>42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/>
      <c r="B19" s="32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/>
      <c r="B20" s="32" t="s">
        <v>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/>
      <c r="B21" s="32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1"/>
      <c r="B22" s="35" t="s">
        <v>46</v>
      </c>
      <c r="C22" s="1"/>
      <c r="D22" s="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1"/>
      <c r="B23" s="37" t="s">
        <v>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1"/>
      <c r="B24" s="37" t="s">
        <v>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1"/>
      <c r="B25" s="37" t="s">
        <v>49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1"/>
      <c r="B26" s="37" t="s">
        <v>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1"/>
      <c r="B27" s="37" t="s">
        <v>52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1"/>
      <c r="B28" s="1"/>
      <c r="C28" s="1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</sheetData>
  <mergeCells count="11">
    <mergeCell ref="B24:D24"/>
    <mergeCell ref="B25:D25"/>
    <mergeCell ref="B26:D26"/>
    <mergeCell ref="B27:D27"/>
    <mergeCell ref="B2:D2"/>
    <mergeCell ref="B17:D17"/>
    <mergeCell ref="B18:D18"/>
    <mergeCell ref="B19:D19"/>
    <mergeCell ref="B20:D20"/>
    <mergeCell ref="B21:D21"/>
    <mergeCell ref="B23:D23"/>
  </mergeCells>
  <hyperlinks>
    <hyperlink display="Go to Model → 前往試算表" location="'FPC Factory Model'!A1" ref="D7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3" width="25.0"/>
    <col customWidth="1" min="4" max="7" width="20.0"/>
    <col customWidth="1" min="8" max="8" width="45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5"/>
      <c r="D2" s="5"/>
      <c r="E2" s="5"/>
      <c r="F2" s="5"/>
      <c r="G2" s="5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8" t="s">
        <v>2</v>
      </c>
      <c r="C3" s="2"/>
      <c r="D3" s="2"/>
      <c r="E3" s="11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3" t="s">
        <v>8</v>
      </c>
      <c r="C5" s="5"/>
      <c r="D5" s="5"/>
      <c r="E5" s="5"/>
      <c r="F5" s="5"/>
      <c r="G5" s="5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6" t="s">
        <v>12</v>
      </c>
      <c r="C6" s="16" t="s">
        <v>14</v>
      </c>
      <c r="D6" s="16" t="s">
        <v>15</v>
      </c>
      <c r="E6" s="16" t="s">
        <v>17</v>
      </c>
      <c r="F6" s="16" t="s">
        <v>19</v>
      </c>
      <c r="G6" s="16" t="s">
        <v>20</v>
      </c>
      <c r="H6" s="16" t="s">
        <v>21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8" t="s">
        <v>22</v>
      </c>
      <c r="C7" s="19">
        <v>0.4</v>
      </c>
      <c r="D7" s="20">
        <f t="shared" ref="D7:D9" si="1">C7*$C$11</f>
        <v>6000</v>
      </c>
      <c r="E7" s="20">
        <f t="shared" ref="E7:E9" si="2">D7*12</f>
        <v>72000</v>
      </c>
      <c r="F7" s="22">
        <v>100.0</v>
      </c>
      <c r="G7" s="23">
        <f t="shared" ref="G7:G9" si="3">D7*F7</f>
        <v>600000</v>
      </c>
      <c r="H7" s="23">
        <f t="shared" ref="H7:H9" si="4">G7*12</f>
        <v>7200000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8" t="s">
        <v>27</v>
      </c>
      <c r="C8" s="19">
        <v>0.5</v>
      </c>
      <c r="D8" s="20">
        <f t="shared" si="1"/>
        <v>7500</v>
      </c>
      <c r="E8" s="20">
        <f t="shared" si="2"/>
        <v>90000</v>
      </c>
      <c r="F8" s="22">
        <v>150.0</v>
      </c>
      <c r="G8" s="23">
        <f t="shared" si="3"/>
        <v>1125000</v>
      </c>
      <c r="H8" s="23">
        <f t="shared" si="4"/>
        <v>13500000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 t="s">
        <v>31</v>
      </c>
      <c r="C9" s="19">
        <v>0.1</v>
      </c>
      <c r="D9" s="20">
        <f t="shared" si="1"/>
        <v>1500</v>
      </c>
      <c r="E9" s="20">
        <f t="shared" si="2"/>
        <v>18000</v>
      </c>
      <c r="F9" s="22">
        <v>250.0</v>
      </c>
      <c r="G9" s="23">
        <f t="shared" si="3"/>
        <v>375000</v>
      </c>
      <c r="H9" s="23">
        <f t="shared" si="4"/>
        <v>4500000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0" t="s">
        <v>35</v>
      </c>
      <c r="C10" s="31">
        <f t="shared" ref="C10:E10" si="5">SUM(C7:C9)</f>
        <v>1</v>
      </c>
      <c r="D10" s="33">
        <f t="shared" si="5"/>
        <v>15000</v>
      </c>
      <c r="E10" s="33">
        <f t="shared" si="5"/>
        <v>180000</v>
      </c>
      <c r="F10" s="34">
        <f>G10/D10</f>
        <v>140</v>
      </c>
      <c r="G10" s="36">
        <f t="shared" ref="G10:H10" si="6">SUM(G7:G9)</f>
        <v>2100000</v>
      </c>
      <c r="H10" s="36">
        <f t="shared" si="6"/>
        <v>25200000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8" t="s">
        <v>51</v>
      </c>
      <c r="C11" s="38">
        <v>15000.0</v>
      </c>
      <c r="D11" s="39" t="s">
        <v>53</v>
      </c>
      <c r="E11" s="40"/>
      <c r="F11" s="40"/>
      <c r="G11" s="40"/>
      <c r="H11" s="4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3" t="s">
        <v>54</v>
      </c>
      <c r="C13" s="5"/>
      <c r="D13" s="5"/>
      <c r="E13" s="5"/>
      <c r="F13" s="5"/>
      <c r="G13" s="5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6" t="s">
        <v>55</v>
      </c>
      <c r="C14" s="16" t="s">
        <v>56</v>
      </c>
      <c r="D14" s="16" t="s">
        <v>57</v>
      </c>
      <c r="E14" s="16" t="s">
        <v>58</v>
      </c>
      <c r="F14" s="16" t="s">
        <v>59</v>
      </c>
      <c r="G14" s="42" t="s">
        <v>60</v>
      </c>
      <c r="H14" s="4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8" t="s">
        <v>61</v>
      </c>
      <c r="C15" s="44">
        <v>2000.0</v>
      </c>
      <c r="D15" s="38">
        <v>2500.0</v>
      </c>
      <c r="E15" s="45" t="s">
        <v>62</v>
      </c>
      <c r="F15" s="45" t="s">
        <v>63</v>
      </c>
      <c r="G15" s="27" t="s">
        <v>64</v>
      </c>
      <c r="H15" s="4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8" t="s">
        <v>65</v>
      </c>
      <c r="C16" s="44">
        <v>2500.0</v>
      </c>
      <c r="D16" s="38">
        <v>3000.0</v>
      </c>
      <c r="E16" s="45" t="s">
        <v>66</v>
      </c>
      <c r="F16" s="45" t="s">
        <v>67</v>
      </c>
      <c r="G16" s="27" t="s">
        <v>68</v>
      </c>
      <c r="H16" s="4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8" t="s">
        <v>69</v>
      </c>
      <c r="C17" s="44">
        <v>1500.0</v>
      </c>
      <c r="D17" s="38">
        <v>1500.0</v>
      </c>
      <c r="E17" s="45" t="s">
        <v>70</v>
      </c>
      <c r="F17" s="45" t="s">
        <v>71</v>
      </c>
      <c r="G17" s="27" t="s">
        <v>72</v>
      </c>
      <c r="H17" s="4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8" t="s">
        <v>73</v>
      </c>
      <c r="C18" s="44">
        <v>1500.0</v>
      </c>
      <c r="D18" s="38">
        <v>2000.0</v>
      </c>
      <c r="E18" s="45" t="s">
        <v>74</v>
      </c>
      <c r="F18" s="45" t="s">
        <v>75</v>
      </c>
      <c r="G18" s="27" t="s">
        <v>76</v>
      </c>
      <c r="H18" s="4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8" t="s">
        <v>77</v>
      </c>
      <c r="C19" s="44">
        <v>1000.0</v>
      </c>
      <c r="D19" s="38">
        <v>3000.0</v>
      </c>
      <c r="E19" s="45" t="s">
        <v>78</v>
      </c>
      <c r="F19" s="45" t="s">
        <v>79</v>
      </c>
      <c r="G19" s="27" t="s">
        <v>80</v>
      </c>
      <c r="H19" s="4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0" t="s">
        <v>81</v>
      </c>
      <c r="C20" s="33">
        <f t="shared" ref="C20:D20" si="7">SUM(C15:C19)</f>
        <v>8500</v>
      </c>
      <c r="D20" s="33">
        <f t="shared" si="7"/>
        <v>12000</v>
      </c>
      <c r="E20" s="46" t="s">
        <v>82</v>
      </c>
      <c r="F20" s="47"/>
      <c r="G20" s="47"/>
      <c r="H20" s="4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3" t="s">
        <v>83</v>
      </c>
      <c r="C22" s="5"/>
      <c r="D22" s="5"/>
      <c r="E22" s="5"/>
      <c r="F22" s="5"/>
      <c r="G22" s="5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6" t="s">
        <v>84</v>
      </c>
      <c r="C23" s="16" t="s">
        <v>85</v>
      </c>
      <c r="D23" s="16" t="s">
        <v>86</v>
      </c>
      <c r="E23" s="16" t="s">
        <v>87</v>
      </c>
      <c r="F23" s="16" t="s">
        <v>88</v>
      </c>
      <c r="G23" s="16" t="s">
        <v>89</v>
      </c>
      <c r="H23" s="16" t="s">
        <v>90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8" t="s">
        <v>91</v>
      </c>
      <c r="C24" s="48">
        <v>1.5E7</v>
      </c>
      <c r="D24" s="22">
        <v>1.65E7</v>
      </c>
      <c r="E24" s="49">
        <f t="shared" ref="E24:E26" si="8">D24/$D$27</f>
        <v>0.7173913043</v>
      </c>
      <c r="F24" s="23">
        <f t="shared" ref="F24:F26" si="9">D24*0.25</f>
        <v>4125000</v>
      </c>
      <c r="G24" s="50">
        <f t="shared" ref="G24:G26" si="10">D24-F24</f>
        <v>12375000</v>
      </c>
      <c r="H24" s="45" t="s">
        <v>92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8" t="s">
        <v>93</v>
      </c>
      <c r="C25" s="48">
        <v>1000000.0</v>
      </c>
      <c r="D25" s="22">
        <v>3500000.0</v>
      </c>
      <c r="E25" s="49">
        <f t="shared" si="8"/>
        <v>0.152173913</v>
      </c>
      <c r="F25" s="23">
        <f t="shared" si="9"/>
        <v>875000</v>
      </c>
      <c r="G25" s="50">
        <f t="shared" si="10"/>
        <v>2625000</v>
      </c>
      <c r="H25" s="45" t="s">
        <v>94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8" t="s">
        <v>95</v>
      </c>
      <c r="C26" s="48">
        <v>2500000.0</v>
      </c>
      <c r="D26" s="22">
        <v>3000000.0</v>
      </c>
      <c r="E26" s="49">
        <f t="shared" si="8"/>
        <v>0.1304347826</v>
      </c>
      <c r="F26" s="23">
        <f t="shared" si="9"/>
        <v>750000</v>
      </c>
      <c r="G26" s="50">
        <f t="shared" si="10"/>
        <v>2250000</v>
      </c>
      <c r="H26" s="45" t="s">
        <v>96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0" t="s">
        <v>97</v>
      </c>
      <c r="C27" s="36">
        <f t="shared" ref="C27:G27" si="11">SUM(C24:C26)</f>
        <v>18500000</v>
      </c>
      <c r="D27" s="36">
        <f t="shared" si="11"/>
        <v>23000000</v>
      </c>
      <c r="E27" s="31">
        <f t="shared" si="11"/>
        <v>1</v>
      </c>
      <c r="F27" s="36">
        <f t="shared" si="11"/>
        <v>5750000</v>
      </c>
      <c r="G27" s="36">
        <f t="shared" si="11"/>
        <v>17250000</v>
      </c>
      <c r="H27" s="51" t="s">
        <v>98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52" t="s">
        <v>99</v>
      </c>
      <c r="C29" s="5"/>
      <c r="D29" s="5"/>
      <c r="E29" s="5"/>
      <c r="F29" s="5"/>
      <c r="G29" s="5"/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6" t="s">
        <v>100</v>
      </c>
      <c r="C30" s="16" t="s">
        <v>101</v>
      </c>
      <c r="D30" s="16" t="s">
        <v>102</v>
      </c>
      <c r="E30" s="16" t="s">
        <v>103</v>
      </c>
      <c r="F30" s="16" t="s">
        <v>104</v>
      </c>
      <c r="G30" s="16" t="s">
        <v>105</v>
      </c>
      <c r="H30" s="16" t="s">
        <v>106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 t="s">
        <v>107</v>
      </c>
      <c r="C31" s="48">
        <v>600000.0</v>
      </c>
      <c r="D31" s="22">
        <v>700000.0</v>
      </c>
      <c r="E31" s="49">
        <f t="shared" ref="E31:E34" si="12">D31/$D$35</f>
        <v>0.4255319149</v>
      </c>
      <c r="F31" s="53">
        <v>1.0</v>
      </c>
      <c r="G31" s="23">
        <f t="shared" ref="G31:G34" si="13">D31*F31</f>
        <v>700000</v>
      </c>
      <c r="H31" s="23">
        <f t="shared" ref="H31:H34" si="14">D31-G31</f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 t="s">
        <v>108</v>
      </c>
      <c r="C32" s="48">
        <v>450000.0</v>
      </c>
      <c r="D32" s="22">
        <v>430000.0</v>
      </c>
      <c r="E32" s="49">
        <f t="shared" si="12"/>
        <v>0.2613981763</v>
      </c>
      <c r="F32" s="53">
        <v>0.4</v>
      </c>
      <c r="G32" s="23">
        <f t="shared" si="13"/>
        <v>172000</v>
      </c>
      <c r="H32" s="23">
        <f t="shared" si="14"/>
        <v>258000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 t="s">
        <v>109</v>
      </c>
      <c r="C33" s="48">
        <v>150000.0</v>
      </c>
      <c r="D33" s="22">
        <v>265000.0</v>
      </c>
      <c r="E33" s="49">
        <f t="shared" si="12"/>
        <v>0.1610942249</v>
      </c>
      <c r="F33" s="53">
        <v>0.7569</v>
      </c>
      <c r="G33" s="23">
        <f t="shared" si="13"/>
        <v>200578.5</v>
      </c>
      <c r="H33" s="23">
        <f t="shared" si="14"/>
        <v>64421.5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 t="s">
        <v>110</v>
      </c>
      <c r="C34" s="48">
        <v>180000.0</v>
      </c>
      <c r="D34" s="22">
        <v>250000.0</v>
      </c>
      <c r="E34" s="49">
        <f t="shared" si="12"/>
        <v>0.1519756839</v>
      </c>
      <c r="F34" s="53">
        <v>0.0</v>
      </c>
      <c r="G34" s="23">
        <f t="shared" si="13"/>
        <v>0</v>
      </c>
      <c r="H34" s="23">
        <f t="shared" si="14"/>
        <v>250000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30" t="s">
        <v>111</v>
      </c>
      <c r="C35" s="36">
        <f t="shared" ref="C35:E35" si="15">SUM(C31:C34)</f>
        <v>1380000</v>
      </c>
      <c r="D35" s="36">
        <f t="shared" si="15"/>
        <v>1645000</v>
      </c>
      <c r="E35" s="31">
        <f t="shared" si="15"/>
        <v>1</v>
      </c>
      <c r="F35" s="54">
        <f>G35/D35</f>
        <v>0.6520234043</v>
      </c>
      <c r="G35" s="36">
        <f t="shared" ref="G35:H35" si="16">SUM(G31:G34)</f>
        <v>1072578.5</v>
      </c>
      <c r="H35" s="36">
        <f t="shared" si="16"/>
        <v>572421.5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3" t="s">
        <v>112</v>
      </c>
      <c r="C37" s="5"/>
      <c r="D37" s="5"/>
      <c r="E37" s="5"/>
      <c r="F37" s="5"/>
      <c r="G37" s="5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6" t="s">
        <v>113</v>
      </c>
      <c r="C38" s="16" t="s">
        <v>114</v>
      </c>
      <c r="D38" s="16" t="s">
        <v>115</v>
      </c>
      <c r="E38" s="16" t="s">
        <v>116</v>
      </c>
      <c r="F38" s="42" t="s">
        <v>117</v>
      </c>
      <c r="G38" s="55"/>
      <c r="H38" s="4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 t="s">
        <v>118</v>
      </c>
      <c r="C39" s="23">
        <f>G10</f>
        <v>2100000</v>
      </c>
      <c r="D39" s="23">
        <f t="shared" ref="D39:D41" si="17">C39*12</f>
        <v>25200000</v>
      </c>
      <c r="E39" s="56" t="s">
        <v>119</v>
      </c>
      <c r="F39" s="27" t="s">
        <v>120</v>
      </c>
      <c r="G39" s="40"/>
      <c r="H39" s="4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 t="s">
        <v>121</v>
      </c>
      <c r="C40" s="23">
        <f>D35</f>
        <v>1645000</v>
      </c>
      <c r="D40" s="23">
        <f t="shared" si="17"/>
        <v>19740000</v>
      </c>
      <c r="E40" s="49">
        <f>C40/C39</f>
        <v>0.7833333333</v>
      </c>
      <c r="F40" s="27" t="s">
        <v>122</v>
      </c>
      <c r="G40" s="40"/>
      <c r="H40" s="4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57" t="s">
        <v>123</v>
      </c>
      <c r="C41" s="58">
        <f>C39-C40</f>
        <v>455000</v>
      </c>
      <c r="D41" s="58">
        <f t="shared" si="17"/>
        <v>5460000</v>
      </c>
      <c r="E41" s="59">
        <f>C41/C39</f>
        <v>0.2166666667</v>
      </c>
      <c r="F41" s="60" t="s">
        <v>124</v>
      </c>
      <c r="G41" s="40"/>
      <c r="H41" s="4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 t="s">
        <v>125</v>
      </c>
      <c r="C42" s="61"/>
      <c r="D42" s="61"/>
      <c r="E42" s="59">
        <f>H35/(C39-G35)</f>
        <v>0.5571437818</v>
      </c>
      <c r="F42" s="27" t="s">
        <v>126</v>
      </c>
      <c r="G42" s="40"/>
      <c r="H42" s="4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 t="s">
        <v>127</v>
      </c>
      <c r="C43" s="23">
        <f>C39*E42</f>
        <v>1170001.942</v>
      </c>
      <c r="D43" s="23">
        <f>D39*E42</f>
        <v>14040023.3</v>
      </c>
      <c r="E43" s="61"/>
      <c r="F43" s="27" t="s">
        <v>128</v>
      </c>
      <c r="G43" s="40"/>
      <c r="H43" s="4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 t="s">
        <v>129</v>
      </c>
      <c r="C44" s="61"/>
      <c r="D44" s="61"/>
      <c r="E44" s="62" t="s">
        <v>130</v>
      </c>
      <c r="F44" s="27" t="s">
        <v>131</v>
      </c>
      <c r="G44" s="40"/>
      <c r="H44" s="4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 t="s">
        <v>132</v>
      </c>
      <c r="C45" s="61"/>
      <c r="D45" s="61"/>
      <c r="E45" s="62" t="s">
        <v>133</v>
      </c>
      <c r="F45" s="27" t="s">
        <v>134</v>
      </c>
      <c r="G45" s="40"/>
      <c r="H45" s="4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2">
    <mergeCell ref="B2:H2"/>
    <mergeCell ref="B5:H5"/>
    <mergeCell ref="D11:H11"/>
    <mergeCell ref="B13:H13"/>
    <mergeCell ref="G14:H14"/>
    <mergeCell ref="G15:H15"/>
    <mergeCell ref="G16:H16"/>
    <mergeCell ref="F38:H38"/>
    <mergeCell ref="F39:H39"/>
    <mergeCell ref="F40:H40"/>
    <mergeCell ref="F41:H41"/>
    <mergeCell ref="F42:H42"/>
    <mergeCell ref="F43:H43"/>
    <mergeCell ref="F44:H44"/>
    <mergeCell ref="F45:H45"/>
    <mergeCell ref="G17:H17"/>
    <mergeCell ref="G18:H18"/>
    <mergeCell ref="G19:H19"/>
    <mergeCell ref="E20:H20"/>
    <mergeCell ref="B22:H22"/>
    <mergeCell ref="B29:H29"/>
    <mergeCell ref="B37:H37"/>
  </mergeCells>
  <printOptions/>
  <pageMargins bottom="1.0" footer="0.0" header="0.0" left="0.75" right="0.75" top="1.0"/>
  <pageSetup orientation="landscape"/>
  <drawing r:id="rId1"/>
</worksheet>
</file>